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ccf303784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e6c57012907445a0"/>
    <x:sheet xmlns:r="http://schemas.openxmlformats.org/officeDocument/2006/relationships" name="Read Me" sheetId="2" r:id="Ra2a91b2e1d294f73"/>
    <x:sheet xmlns:r="http://schemas.openxmlformats.org/officeDocument/2006/relationships" name="Risk Matrix" sheetId="3" r:id="R11cd643a7420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f4fa87408409e" /><Relationship Type="http://schemas.openxmlformats.org/officeDocument/2006/relationships/theme" Target="/xl/theme/theme1.xml" Id="R2c5046be0e1c4139" /><Relationship Type="http://schemas.openxmlformats.org/officeDocument/2006/relationships/sharedStrings" Target="/xl/sharedStrings.xml" Id="Rb378be6d336f4455" /><Relationship Type="http://schemas.openxmlformats.org/officeDocument/2006/relationships/worksheet" Target="/xl/worksheets/sheet1.xml" Id="Re6c57012907445a0" /><Relationship Type="http://schemas.openxmlformats.org/officeDocument/2006/relationships/worksheet" Target="/xl/worksheets/sheet2.xml" Id="Ra2a91b2e1d294f73" /><Relationship Type="http://schemas.openxmlformats.org/officeDocument/2006/relationships/worksheet" Target="/xl/worksheets/sheet3.xml" Id="R11cd643a7420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5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25" hidden="0" customWidth="1"/>
    <x:col min="11" max="11" width="20" hidden="0" customWidth="1"/>
    <x:col min="12" max="12" width="17" hidden="0" customWidth="1"/>
    <x:col min="13" max="13" width="17" hidden="0" customWidth="1"/>
    <x:col min="14" max="14" width="17" hidden="0" customWidth="1"/>
    <x:col min="15" max="15" width="18" hidden="0" customWidth="1"/>
    <x:col min="16" max="16" width="42" hidden="0" customWidth="1"/>
    <x:col min="17" max="17" width="25" hidden="0" customWidth="1"/>
    <x:col min="18" max="18" width="34" hidden="0" customWidth="1"/>
    <x:col min="19" max="19" width="48" hidden="0" customWidth="1"/>
    <x:col min="20" max="20" width="28" hidden="0" customWidth="1"/>
    <x:col min="21" max="21" width="17" hidden="0" customWidth="1"/>
  </x:cols>
  <x:sheetData>
    <x:row r="1" ht="32" customHeight="1">
      <x:c r="A1" s="4" t="str">
        <x:v>Risk ID</x:v>
      </x:c>
      <x:c r="B1" s="4" t="str">
        <x:v>Category</x:v>
      </x:c>
      <x:c r="C1" s="4" t="str">
        <x:v>Process / Asset</x:v>
      </x:c>
      <x:c r="D1" s="4" t="str">
        <x:v>Risk scenario (cause → event → impact)</x:v>
      </x:c>
      <x:c r="E1" s="4" t="str">
        <x:v>Inherent likelihood</x:v>
      </x:c>
      <x:c r="F1" s="4" t="str">
        <x:v>Inherent impact</x:v>
      </x:c>
      <x:c r="G1" s="4" t="str">
        <x:v>Inherent score</x:v>
      </x:c>
      <x:c r="H1" s="4" t="str">
        <x:v>Inherent tier</x:v>
      </x:c>
      <x:c r="I1" s="4" t="str">
        <x:v>Documented requirement / control</x:v>
      </x:c>
      <x:c r="J1" s="4" t="str">
        <x:v>Evidence status</x:v>
      </x:c>
      <x:c r="K1" s="4" t="str">
        <x:v>Control effectiveness</x:v>
      </x:c>
      <x:c r="L1" s="4" t="str">
        <x:v>Residual likelihood</x:v>
      </x:c>
      <x:c r="M1" s="4" t="str">
        <x:v>Residual impact</x:v>
      </x:c>
      <x:c r="N1" s="4" t="str">
        <x:v>Residual score</x:v>
      </x:c>
      <x:c r="O1" s="4" t="str">
        <x:v>Residual tier</x:v>
      </x:c>
      <x:c r="P1" s="4" t="str">
        <x:v>Treatment proposal (hypothetical)</x:v>
      </x:c>
      <x:c r="Q1" s="4" t="str">
        <x:v>Proposed owner (role)</x:v>
      </x:c>
      <x:c r="R1" s="4" t="str">
        <x:v>Evidence / source</x:v>
      </x:c>
      <x:c r="S1" s="4" t="str">
        <x:v>Next evidence request</x:v>
      </x:c>
      <x:c r="T1" s="4" t="str">
        <x:v>Status</x:v>
      </x:c>
      <x:c r="U1" s="4" t="str">
        <x:v>Last reviewed</x:v>
      </x:c>
    </x:row>
    <x:row r="2" ht="62" customHeight="1">
      <x:c r="A2" s="8" t="str">
        <x:v>IAM-001</x:v>
      </x:c>
      <x:c r="B2" s="8" t="str">
        <x:v>Identity lifecycle</x:v>
      </x:c>
      <x:c r="C2" s="8" t="str">
        <x:v>Staff leavers</x:v>
      </x:c>
      <x:c r="D2" s="8" t="str">
        <x:v>Delayed deprovisioning → former staff retain access → unauthorised access to workforce information</x:v>
      </x:c>
      <x:c r="E2" s="8" t="n">
        <x:v>3</x:v>
      </x:c>
      <x:c r="F2" s="8" t="n">
        <x:v>4</x:v>
      </x:c>
      <x:c r="G2" s="8" t="n">
        <x:f>E2*F2</x:f>
        <x:v>12</x:v>
      </x:c>
      <x:c r="H2" s="8" t="str">
        <x:f>IF(G2&lt;=3,"Low",IF(G2&lt;=9,"Medium",IF(G2&lt;=19,"High","Critical")))</x:f>
        <x:v>High</x:v>
      </x:c>
      <x:c r="I2" s="8" t="str">
        <x:v>JML offboarding workflow</x:v>
      </x:c>
      <x:c r="J2" s="8" t="str">
        <x:v>Internal evidence unavailable</x:v>
      </x:c>
      <x:c r="K2" s="8" t="str">
        <x:v>Not assessed</x:v>
      </x:c>
      <x:c r="L2" s="8"/>
      <x:c r="M2" s="8"/>
      <x:c r="N2" s="8" t="str">
        <x:f>IF(OR(L2="",M2=""),"",L2*M2)</x:f>
      </x:c>
      <x:c r="O2" s="8" t="str">
        <x:f>IF(N2="","Not assessed",IF(N2&lt;=3,"Low",IF(N2&lt;=9,"Medium",IF(N2&lt;=19,"High","Critical"))))</x:f>
        <x:v>Not assessed</x:v>
      </x:c>
      <x:c r="P2" s="8" t="str">
        <x:v>Mitigate — assess control and agree proportionate action</x:v>
      </x:c>
      <x:c r="Q2" s="8" t="str">
        <x:v>To assign (simulated role)</x:v>
      </x:c>
      <x:c r="R2" s="8" t="str">
        <x:v>Project hypothesis; no actual finding</x:v>
      </x:c>
      <x:c r="S2" s="8" t="str">
        <x:v>Obtain termination timestamps and account disablement logs</x:v>
      </x:c>
      <x:c r="T2" s="8" t="str">
        <x:v>Open — evidence required</x:v>
      </x:c>
      <x:c r="U2" s="8" t="str">
        <x:v>2026-10-13</x:v>
      </x:c>
    </x:row>
    <x:row r="3" ht="62" customHeight="1">
      <x:c r="A3" s="8" t="str">
        <x:v>IAM-002</x:v>
      </x:c>
      <x:c r="B3" s="8" t="str">
        <x:v>Authentication</x:v>
      </x:c>
      <x:c r="C3" s="8" t="str">
        <x:v>Workforce SSO</x:v>
      </x:c>
      <x:c r="D3" s="8" t="str">
        <x:v>MFA exception or uncovered app → stolen credential used → sensitive staff data accessed</x:v>
      </x:c>
      <x:c r="E3" s="8" t="n">
        <x:v>3</x:v>
      </x:c>
      <x:c r="F3" s="8" t="n">
        <x:v>4</x:v>
      </x:c>
      <x:c r="G3" s="8" t="n">
        <x:f>E3*F3</x:f>
        <x:v>12</x:v>
      </x:c>
      <x:c r="H3" s="8" t="str">
        <x:f>IF(G3&lt;=3,"Low",IF(G3&lt;=9,"Medium",IF(G3&lt;=19,"High","Critical")))</x:f>
        <x:v>High</x:v>
      </x:c>
      <x:c r="I3" s="8" t="str">
        <x:v>MFA and SSO requirements</x:v>
      </x:c>
      <x:c r="J3" s="8" t="str">
        <x:v>Internal evidence unavailable</x:v>
      </x:c>
      <x:c r="K3" s="8" t="str">
        <x:v>Not assessed</x:v>
      </x:c>
      <x:c r="L3" s="8"/>
      <x:c r="M3" s="8"/>
      <x:c r="N3" s="8" t="str">
        <x:f>IF(OR(L3="",M3=""),"",L3*M3)</x:f>
      </x:c>
      <x:c r="O3" s="8" t="str">
        <x:f>IF(N3="","Not assessed",IF(N3&lt;=3,"Low",IF(N3&lt;=9,"Medium",IF(N3&lt;=19,"High","Critical"))))</x:f>
        <x:v>Not assessed</x:v>
      </x:c>
      <x:c r="P3" s="8" t="str">
        <x:v>Mitigate — assess control and agree proportionate action</x:v>
      </x:c>
      <x:c r="Q3" s="8" t="str">
        <x:v>To assign (simulated role)</x:v>
      </x:c>
      <x:c r="R3" s="8" t="str">
        <x:v>Project hypothesis; no actual finding</x:v>
      </x:c>
      <x:c r="S3" s="8" t="str">
        <x:v>Obtain MFA policy, app inventory and exception list</x:v>
      </x:c>
      <x:c r="T3" s="8" t="str">
        <x:v>Open — evidence required</x:v>
      </x:c>
      <x:c r="U3" s="8" t="str">
        <x:v>2026-10-13</x:v>
      </x:c>
    </x:row>
    <x:row r="4" ht="62" customHeight="1">
      <x:c r="A4" s="8" t="str">
        <x:v>IAM-003</x:v>
      </x:c>
      <x:c r="B4" s="8" t="str">
        <x:v>Privileged access</x:v>
      </x:c>
      <x:c r="C4" s="8" t="str">
        <x:v>Admin accounts</x:v>
      </x:c>
      <x:c r="D4" s="8" t="str">
        <x:v>Excessive privilege → compromised administrator → widespread system or data compromise</x:v>
      </x:c>
      <x:c r="E4" s="8" t="n">
        <x:v>3</x:v>
      </x:c>
      <x:c r="F4" s="8" t="n">
        <x:v>5</x:v>
      </x:c>
      <x:c r="G4" s="8" t="n">
        <x:f>E4*F4</x:f>
        <x:v>15</x:v>
      </x:c>
      <x:c r="H4" s="8" t="str">
        <x:f>IF(G4&lt;=3,"Low",IF(G4&lt;=9,"Medium",IF(G4&lt;=19,"High","Critical")))</x:f>
        <x:v>High</x:v>
      </x:c>
      <x:c r="I4" s="8" t="str">
        <x:v>Privileged access management</x:v>
      </x:c>
      <x:c r="J4" s="8" t="str">
        <x:v>Internal evidence unavailable</x:v>
      </x:c>
      <x:c r="K4" s="8" t="str">
        <x:v>Not assessed</x:v>
      </x:c>
      <x:c r="L4" s="8"/>
      <x:c r="M4" s="8"/>
      <x:c r="N4" s="8" t="str">
        <x:f>IF(OR(L4="",M4=""),"",L4*M4)</x:f>
      </x:c>
      <x:c r="O4" s="8" t="str">
        <x:f>IF(N4="","Not assessed",IF(N4&lt;=3,"Low",IF(N4&lt;=9,"Medium",IF(N4&lt;=19,"High","Critical"))))</x:f>
        <x:v>Not assessed</x:v>
      </x:c>
      <x:c r="P4" s="8" t="str">
        <x:v>Mitigate — assess control and agree proportionate action</x:v>
      </x:c>
      <x:c r="Q4" s="8" t="str">
        <x:v>To assign (simulated role)</x:v>
      </x:c>
      <x:c r="R4" s="8" t="str">
        <x:v>Project hypothesis; no actual finding</x:v>
      </x:c>
      <x:c r="S4" s="8" t="str">
        <x:v>Obtain privileged account inventory and approval records</x:v>
      </x:c>
      <x:c r="T4" s="8" t="str">
        <x:v>Open — evidence required</x:v>
      </x:c>
      <x:c r="U4" s="8" t="str">
        <x:v>2026-10-13</x:v>
      </x:c>
    </x:row>
    <x:row r="5" ht="62" customHeight="1">
      <x:c r="A5" s="8" t="str">
        <x:v>IAM-004</x:v>
      </x:c>
      <x:c r="B5" s="8" t="str">
        <x:v>Access governance</x:v>
      </x:c>
      <x:c r="C5" s="8" t="str">
        <x:v>Role changes</x:v>
      </x:c>
      <x:c r="D5" s="8" t="str">
        <x:v>Role changes not reflected → accumulated entitlements → inappropriate access to HR data</x:v>
      </x:c>
      <x:c r="E5" s="8" t="n">
        <x:v>4</x:v>
      </x:c>
      <x:c r="F5" s="8" t="n">
        <x:v>3</x:v>
      </x:c>
      <x:c r="G5" s="8" t="n">
        <x:f>E5*F5</x:f>
        <x:v>12</x:v>
      </x:c>
      <x:c r="H5" s="8" t="str">
        <x:f>IF(G5&lt;=3,"Low",IF(G5&lt;=9,"Medium",IF(G5&lt;=19,"High","Critical")))</x:f>
        <x:v>High</x:v>
      </x:c>
      <x:c r="I5" s="8" t="str">
        <x:v>Role-based provisioning / access reviews</x:v>
      </x:c>
      <x:c r="J5" s="8" t="str">
        <x:v>Internal evidence unavailable</x:v>
      </x:c>
      <x:c r="K5" s="8" t="str">
        <x:v>Not assessed</x:v>
      </x:c>
      <x:c r="L5" s="8"/>
      <x:c r="M5" s="8"/>
      <x:c r="N5" s="8" t="str">
        <x:f>IF(OR(L5="",M5=""),"",L5*M5)</x:f>
      </x:c>
      <x:c r="O5" s="8" t="str">
        <x:f>IF(N5="","Not assessed",IF(N5&lt;=3,"Low",IF(N5&lt;=9,"Medium",IF(N5&lt;=19,"High","Critical"))))</x:f>
        <x:v>Not assessed</x:v>
      </x:c>
      <x:c r="P5" s="8" t="str">
        <x:v>Mitigate — assess control and agree proportionate action</x:v>
      </x:c>
      <x:c r="Q5" s="8" t="str">
        <x:v>To assign (simulated role)</x:v>
      </x:c>
      <x:c r="R5" s="8" t="str">
        <x:v>Project hypothesis; no actual finding</x:v>
      </x:c>
      <x:c r="S5" s="8" t="str">
        <x:v>Obtain mover tickets and entitlement history</x:v>
      </x:c>
      <x:c r="T5" s="8" t="str">
        <x:v>Open — evidence required</x:v>
      </x:c>
      <x:c r="U5" s="8" t="str">
        <x:v>2026-10-13</x:v>
      </x:c>
    </x:row>
    <x:row r="6" ht="62" customHeight="1">
      <x:c r="A6" s="8" t="str">
        <x:v>IAM-005</x:v>
      </x:c>
      <x:c r="B6" s="8" t="str">
        <x:v>Access review</x:v>
      </x:c>
      <x:c r="C6" s="8" t="str">
        <x:v>Sensitive staff applications</x:v>
      </x:c>
      <x:c r="D6" s="8" t="str">
        <x:v>Reviews not completed → inappropriate access persists → confidentiality exposure</x:v>
      </x:c>
      <x:c r="E6" s="8" t="n">
        <x:v>3</x:v>
      </x:c>
      <x:c r="F6" s="8" t="n">
        <x:v>4</x:v>
      </x:c>
      <x:c r="G6" s="8" t="n">
        <x:f>E6*F6</x:f>
        <x:v>12</x:v>
      </x:c>
      <x:c r="H6" s="8" t="str">
        <x:f>IF(G6&lt;=3,"Low",IF(G6&lt;=9,"Medium",IF(G6&lt;=19,"High","Critical")))</x:f>
        <x:v>High</x:v>
      </x:c>
      <x:c r="I6" s="8" t="str">
        <x:v>Periodic access certification</x:v>
      </x:c>
      <x:c r="J6" s="8" t="str">
        <x:v>Internal evidence unavailable</x:v>
      </x:c>
      <x:c r="K6" s="8" t="str">
        <x:v>Not assessed</x:v>
      </x:c>
      <x:c r="L6" s="8"/>
      <x:c r="M6" s="8"/>
      <x:c r="N6" s="8" t="str">
        <x:f>IF(OR(L6="",M6=""),"",L6*M6)</x:f>
      </x:c>
      <x:c r="O6" s="8" t="str">
        <x:f>IF(N6="","Not assessed",IF(N6&lt;=3,"Low",IF(N6&lt;=9,"Medium",IF(N6&lt;=19,"High","Critical"))))</x:f>
        <x:v>Not assessed</x:v>
      </x:c>
      <x:c r="P6" s="8" t="str">
        <x:v>Mitigate — assess control and agree proportionate action</x:v>
      </x:c>
      <x:c r="Q6" s="8" t="str">
        <x:v>To assign (simulated role)</x:v>
      </x:c>
      <x:c r="R6" s="8" t="str">
        <x:v>Project hypothesis; no actual finding</x:v>
      </x:c>
      <x:c r="S6" s="8" t="str">
        <x:v>Obtain completed access review attestations</x:v>
      </x:c>
      <x:c r="T6" s="8" t="str">
        <x:v>Open — evidence required</x:v>
      </x:c>
      <x:c r="U6" s="8" t="str">
        <x:v>2026-10-13</x:v>
      </x:c>
    </x:row>
    <x:row r="7" ht="62" customHeight="1">
      <x:c r="A7" s="8" t="str">
        <x:v>IAM-006</x:v>
      </x:c>
      <x:c r="B7" s="8" t="str">
        <x:v>External access</x:v>
      </x:c>
      <x:c r="C7" s="8" t="str">
        <x:v>Contractors</x:v>
      </x:c>
      <x:c r="D7" s="8" t="str">
        <x:v>Contractor engagement ends without revocation → access persists → data exposure</x:v>
      </x:c>
      <x:c r="E7" s="8" t="n">
        <x:v>3</x:v>
      </x:c>
      <x:c r="F7" s="8" t="n">
        <x:v>4</x:v>
      </x:c>
      <x:c r="G7" s="8" t="n">
        <x:f>E7*F7</x:f>
        <x:v>12</x:v>
      </x:c>
      <x:c r="H7" s="8" t="str">
        <x:f>IF(G7&lt;=3,"Low",IF(G7&lt;=9,"Medium",IF(G7&lt;=19,"High","Critical")))</x:f>
        <x:v>High</x:v>
      </x:c>
      <x:c r="I7" s="8" t="str">
        <x:v>External account expiry and sponsor review</x:v>
      </x:c>
      <x:c r="J7" s="8" t="str">
        <x:v>Internal evidence unavailable</x:v>
      </x:c>
      <x:c r="K7" s="8" t="str">
        <x:v>Not assessed</x:v>
      </x:c>
      <x:c r="L7" s="8"/>
      <x:c r="M7" s="8"/>
      <x:c r="N7" s="8" t="str">
        <x:f>IF(OR(L7="",M7=""),"",L7*M7)</x:f>
      </x:c>
      <x:c r="O7" s="8" t="str">
        <x:f>IF(N7="","Not assessed",IF(N7&lt;=3,"Low",IF(N7&lt;=9,"Medium",IF(N7&lt;=19,"High","Critical"))))</x:f>
        <x:v>Not assessed</x:v>
      </x:c>
      <x:c r="P7" s="8" t="str">
        <x:v>Mitigate — assess control and agree proportionate action</x:v>
      </x:c>
      <x:c r="Q7" s="8" t="str">
        <x:v>To assign (simulated role)</x:v>
      </x:c>
      <x:c r="R7" s="8" t="str">
        <x:v>Project hypothesis; no actual finding</x:v>
      </x:c>
      <x:c r="S7" s="8" t="str">
        <x:v>Obtain contractor inventory, expiry dates and sponsor approvals</x:v>
      </x:c>
      <x:c r="T7" s="8" t="str">
        <x:v>Open — evidence required</x:v>
      </x:c>
      <x:c r="U7" s="8" t="str">
        <x:v>2026-10-13</x:v>
      </x:c>
    </x:row>
    <x:row r="8" ht="62" customHeight="1">
      <x:c r="A8" s="8" t="str">
        <x:v>IAM-007</x:v>
      </x:c>
      <x:c r="B8" s="8" t="str">
        <x:v>Service identities</x:v>
      </x:c>
      <x:c r="C8" s="8" t="str">
        <x:v>Non-human accounts</x:v>
      </x:c>
      <x:c r="D8" s="8" t="str">
        <x:v>Long-lived secrets or excess permissions → credential misuse → service compromise</x:v>
      </x:c>
      <x:c r="E8" s="8" t="n">
        <x:v>3</x:v>
      </x:c>
      <x:c r="F8" s="8" t="n">
        <x:v>4</x:v>
      </x:c>
      <x:c r="G8" s="8" t="n">
        <x:f>E8*F8</x:f>
        <x:v>12</x:v>
      </x:c>
      <x:c r="H8" s="8" t="str">
        <x:f>IF(G8&lt;=3,"Low",IF(G8&lt;=9,"Medium",IF(G8&lt;=19,"High","Critical")))</x:f>
        <x:v>High</x:v>
      </x:c>
      <x:c r="I8" s="8" t="str">
        <x:v>Service account ownership and secret rotation</x:v>
      </x:c>
      <x:c r="J8" s="8" t="str">
        <x:v>Internal evidence unavailable</x:v>
      </x:c>
      <x:c r="K8" s="8" t="str">
        <x:v>Not assessed</x:v>
      </x:c>
      <x:c r="L8" s="8"/>
      <x:c r="M8" s="8"/>
      <x:c r="N8" s="8" t="str">
        <x:f>IF(OR(L8="",M8=""),"",L8*M8)</x:f>
      </x:c>
      <x:c r="O8" s="8" t="str">
        <x:f>IF(N8="","Not assessed",IF(N8&lt;=3,"Low",IF(N8&lt;=9,"Medium",IF(N8&lt;=19,"High","Critical"))))</x:f>
        <x:v>Not assessed</x:v>
      </x:c>
      <x:c r="P8" s="8" t="str">
        <x:v>Mitigate — assess control and agree proportionate action</x:v>
      </x:c>
      <x:c r="Q8" s="8" t="str">
        <x:v>To assign (simulated role)</x:v>
      </x:c>
      <x:c r="R8" s="8" t="str">
        <x:v>Project hypothesis; no actual finding</x:v>
      </x:c>
      <x:c r="S8" s="8" t="str">
        <x:v>Obtain service account inventory and rotation logs</x:v>
      </x:c>
      <x:c r="T8" s="8" t="str">
        <x:v>Open — evidence required</x:v>
      </x:c>
      <x:c r="U8" s="8" t="str">
        <x:v>2026-10-13</x:v>
      </x:c>
    </x:row>
    <x:row r="9" ht="62" customHeight="1">
      <x:c r="A9" s="8" t="str">
        <x:v>IAM-008</x:v>
      </x:c>
      <x:c r="B9" s="8" t="str">
        <x:v>Authentication monitoring</x:v>
      </x:c>
      <x:c r="C9" s="8" t="str">
        <x:v>SSO events</x:v>
      </x:c>
      <x:c r="D9" s="8" t="str">
        <x:v>Suspicious sign-in activity not triaged → account compromise persists → wider exposure</x:v>
      </x:c>
      <x:c r="E9" s="8" t="n">
        <x:v>3</x:v>
      </x:c>
      <x:c r="F9" s="8" t="n">
        <x:v>4</x:v>
      </x:c>
      <x:c r="G9" s="8" t="n">
        <x:f>E9*F9</x:f>
        <x:v>12</x:v>
      </x:c>
      <x:c r="H9" s="8" t="str">
        <x:f>IF(G9&lt;=3,"Low",IF(G9&lt;=9,"Medium",IF(G9&lt;=19,"High","Critical")))</x:f>
        <x:v>High</x:v>
      </x:c>
      <x:c r="I9" s="8" t="str">
        <x:v>Authentication event logging and alert triage</x:v>
      </x:c>
      <x:c r="J9" s="8" t="str">
        <x:v>Internal evidence unavailable</x:v>
      </x:c>
      <x:c r="K9" s="8" t="str">
        <x:v>Not assessed</x:v>
      </x:c>
      <x:c r="L9" s="8"/>
      <x:c r="M9" s="8"/>
      <x:c r="N9" s="8" t="str">
        <x:f>IF(OR(L9="",M9=""),"",L9*M9)</x:f>
      </x:c>
      <x:c r="O9" s="8" t="str">
        <x:f>IF(N9="","Not assessed",IF(N9&lt;=3,"Low",IF(N9&lt;=9,"Medium",IF(N9&lt;=19,"High","Critical"))))</x:f>
        <x:v>Not assessed</x:v>
      </x:c>
      <x:c r="P9" s="8" t="str">
        <x:v>Mitigate — assess control and agree proportionate action</x:v>
      </x:c>
      <x:c r="Q9" s="8" t="str">
        <x:v>To assign (simulated role)</x:v>
      </x:c>
      <x:c r="R9" s="8" t="str">
        <x:v>Project hypothesis; no actual finding</x:v>
      </x:c>
      <x:c r="S9" s="8" t="str">
        <x:v>Obtain sample alert rules, logs and incident tickets</x:v>
      </x:c>
      <x:c r="T9" s="8" t="str">
        <x:v>Open — evidence required</x:v>
      </x:c>
      <x:c r="U9" s="8" t="str">
        <x:v>2026-10-13</x:v>
      </x:c>
    </x:row>
    <x:row r="10" ht="62" customHeight="1">
      <x:c r="A10" s="8" t="str">
        <x:v>IAM-009</x:v>
      </x:c>
      <x:c r="B10" s="8" t="str">
        <x:v>Access recovery</x:v>
      </x:c>
      <x:c r="C10" s="8" t="str">
        <x:v>MFA reset process</x:v>
      </x:c>
      <x:c r="D10" s="8" t="str">
        <x:v>Weak identity verification during MFA reset → attacker enrolls factor → account takeover</x:v>
      </x:c>
      <x:c r="E10" s="8" t="n">
        <x:v>3</x:v>
      </x:c>
      <x:c r="F10" s="8" t="n">
        <x:v>4</x:v>
      </x:c>
      <x:c r="G10" s="8" t="n">
        <x:f>E10*F10</x:f>
        <x:v>12</x:v>
      </x:c>
      <x:c r="H10" s="8" t="str">
        <x:f>IF(G10&lt;=3,"Low",IF(G10&lt;=9,"Medium",IF(G10&lt;=19,"High","Critical")))</x:f>
        <x:v>High</x:v>
      </x:c>
      <x:c r="I10" s="8" t="str">
        <x:v>Helpdesk identity verification</x:v>
      </x:c>
      <x:c r="J10" s="8" t="str">
        <x:v>Internal evidence unavailable</x:v>
      </x:c>
      <x:c r="K10" s="8" t="str">
        <x:v>Not assessed</x:v>
      </x:c>
      <x:c r="L10" s="8"/>
      <x:c r="M10" s="8"/>
      <x:c r="N10" s="8" t="str">
        <x:f>IF(OR(L10="",M10=""),"",L10*M10)</x:f>
      </x:c>
      <x:c r="O10" s="8" t="str">
        <x:f>IF(N10="","Not assessed",IF(N10&lt;=3,"Low",IF(N10&lt;=9,"Medium",IF(N10&lt;=19,"High","Critical"))))</x:f>
        <x:v>Not assessed</x:v>
      </x:c>
      <x:c r="P10" s="8" t="str">
        <x:v>Mitigate — assess control and agree proportionate action</x:v>
      </x:c>
      <x:c r="Q10" s="8" t="str">
        <x:v>To assign (simulated role)</x:v>
      </x:c>
      <x:c r="R10" s="8" t="str">
        <x:v>Project hypothesis; no actual finding</x:v>
      </x:c>
      <x:c r="S10" s="8" t="str">
        <x:v>Obtain MFA reset procedure and anonymised tickets</x:v>
      </x:c>
      <x:c r="T10" s="8" t="str">
        <x:v>Open — evidence required</x:v>
      </x:c>
      <x:c r="U10" s="8" t="str">
        <x:v>2026-10-13</x:v>
      </x:c>
    </x:row>
    <x:row r="11" ht="62" customHeight="1">
      <x:c r="A11" s="8" t="str">
        <x:v>IAM-010</x:v>
      </x:c>
      <x:c r="B11" s="8" t="str">
        <x:v>Third-party integration</x:v>
      </x:c>
      <x:c r="C11" s="8" t="str">
        <x:v>Connected applications</x:v>
      </x:c>
      <x:c r="D11" s="8" t="str">
        <x:v>Excessive third-party app permissions → external token misuse → staff data exposure</x:v>
      </x:c>
      <x:c r="E11" s="8" t="n">
        <x:v>3</x:v>
      </x:c>
      <x:c r="F11" s="8" t="n">
        <x:v>4</x:v>
      </x:c>
      <x:c r="G11" s="8" t="n">
        <x:f>E11*F11</x:f>
        <x:v>12</x:v>
      </x:c>
      <x:c r="H11" s="8" t="str">
        <x:f>IF(G11&lt;=3,"Low",IF(G11&lt;=9,"Medium",IF(G11&lt;=19,"High","Critical")))</x:f>
        <x:v>High</x:v>
      </x:c>
      <x:c r="I11" s="8" t="str">
        <x:v>Application consent and vendor access reviews</x:v>
      </x:c>
      <x:c r="J11" s="8" t="str">
        <x:v>Internal evidence unavailable</x:v>
      </x:c>
      <x:c r="K11" s="8" t="str">
        <x:v>Not assessed</x:v>
      </x:c>
      <x:c r="L11" s="8"/>
      <x:c r="M11" s="8"/>
      <x:c r="N11" s="8" t="str">
        <x:f>IF(OR(L11="",M11=""),"",L11*M11)</x:f>
      </x:c>
      <x:c r="O11" s="8" t="str">
        <x:f>IF(N11="","Not assessed",IF(N11&lt;=3,"Low",IF(N11&lt;=9,"Medium",IF(N11&lt;=19,"High","Critical"))))</x:f>
        <x:v>Not assessed</x:v>
      </x:c>
      <x:c r="P11" s="8" t="str">
        <x:v>Mitigate — assess control and agree proportionate action</x:v>
      </x:c>
      <x:c r="Q11" s="8" t="str">
        <x:v>To assign (simulated role)</x:v>
      </x:c>
      <x:c r="R11" s="8" t="str">
        <x:v>Project hypothesis; no actual finding</x:v>
      </x:c>
      <x:c r="S11" s="8" t="str">
        <x:v>Obtain integration inventory and permission approvals</x:v>
      </x:c>
      <x:c r="T11" s="8" t="str">
        <x:v>Open — evidence required</x:v>
      </x:c>
      <x:c r="U11" s="8" t="str">
        <x:v>2026-10-13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" t="str">
        <x:v>WORKBOOK</x:v>
      </x:c>
      <x:c r="B1" s="3" t="str">
        <x:v>SIMULATED GRC PORTFOLIO</x:v>
      </x:c>
    </x:row>
    <x:row r="2">
      <x:c r="A2" t="str">
        <x:v>Scope</x:v>
      </x:c>
      <x:c r="B2" t="str">
        <x:v>Workforce IAM only</x:v>
      </x:c>
    </x:row>
    <x:row r="3">
      <x:c r="A3" t="str">
        <x:v>Evidence</x:v>
      </x:c>
      <x:c r="B3" t="str">
        <x:v>No internal University evidence accessed</x:v>
      </x:c>
    </x:row>
    <x:row r="4">
      <x:c r="A4" t="str">
        <x:v>Risk ratings</x:v>
      </x:c>
      <x:c r="B4" t="str">
        <x:v>Illustrative inherent risk estimates, not University findings</x:v>
      </x:c>
    </x:row>
    <x:row r="5">
      <x:c r="A5" t="str">
        <x:v>Control effectiveness</x:v>
      </x:c>
      <x:c r="B5" t="str">
        <x:v>Not assessed until appropriate evidence is obtained</x:v>
      </x:c>
    </x:row>
    <x:row r="6">
      <x:c r="A6" t="str">
        <x:v>Residual risk</x:v>
      </x:c>
      <x:c r="B6" t="str">
        <x:v>Blank pending control evidence</x:v>
      </x:c>
    </x:row>
    <x:row r="7">
      <x:c r="A7" t="str">
        <x:v>Treatment/owner</x:v>
      </x:c>
      <x:c r="B7" t="str">
        <x:v>Hypothetical proposals, not actual University decisions</x:v>
      </x:c>
    </x:row>
    <x:row r="8">
      <x:c r="A8" t="str">
        <x:v>Methodology</x:v>
      </x:c>
      <x:c r="B8" t="str">
        <x:v>See Risk-Assessment-Methodology.docx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Likelihood \ Impact</x:v>
      </x:c>
      <x:c r="B1" s="3" t="n">
        <x:v>1</x:v>
      </x:c>
      <x:c r="C1" s="3" t="n">
        <x:v>2</x:v>
      </x:c>
      <x:c r="D1" s="3" t="n">
        <x:v>3</x:v>
      </x:c>
      <x:c r="E1" s="3" t="n">
        <x:v>4</x:v>
      </x:c>
      <x:c r="F1" s="3" t="n">
        <x:v>5</x:v>
      </x:c>
    </x:row>
    <x:row r="2">
      <x:c r="A2" t="n">
        <x:v>5</x:v>
      </x:c>
      <x:c r="B2" t="n">
        <x:f>A2*B$1</x:f>
        <x:v>5</x:v>
      </x:c>
      <x:c r="C2" t="n">
        <x:f>A2*C$1</x:f>
        <x:v>10</x:v>
      </x:c>
      <x:c r="D2" t="n">
        <x:f>A2*D$1</x:f>
        <x:v>15</x:v>
      </x:c>
      <x:c r="E2" t="n">
        <x:f>A2*E$1</x:f>
        <x:v>20</x:v>
      </x:c>
      <x:c r="F2" t="n">
        <x:f>A2*F$1</x:f>
        <x:v>25</x:v>
      </x:c>
    </x:row>
    <x:row r="3">
      <x:c r="A3" t="n">
        <x:v>4</x:v>
      </x:c>
      <x:c r="B3" t="n">
        <x:f>A3*B$1</x:f>
        <x:v>4</x:v>
      </x:c>
      <x:c r="C3" t="n">
        <x:f>A3*C$1</x:f>
        <x:v>8</x:v>
      </x:c>
      <x:c r="D3" t="n">
        <x:f>A3*D$1</x:f>
        <x:v>12</x:v>
      </x:c>
      <x:c r="E3" t="n">
        <x:f>A3*E$1</x:f>
        <x:v>16</x:v>
      </x:c>
      <x:c r="F3" t="n">
        <x:f>A3*F$1</x:f>
        <x:v>20</x:v>
      </x:c>
    </x:row>
    <x:row r="4">
      <x:c r="A4" t="n">
        <x:v>3</x:v>
      </x:c>
      <x:c r="B4" t="n">
        <x:f>A4*B$1</x:f>
        <x:v>3</x:v>
      </x:c>
      <x:c r="C4" t="n">
        <x:f>A4*C$1</x:f>
        <x:v>6</x:v>
      </x:c>
      <x:c r="D4" t="n">
        <x:f>A4*D$1</x:f>
        <x:v>9</x:v>
      </x:c>
      <x:c r="E4" t="n">
        <x:f>A4*E$1</x:f>
        <x:v>12</x:v>
      </x:c>
      <x:c r="F4" t="n">
        <x:f>A4*F$1</x:f>
        <x:v>15</x:v>
      </x:c>
    </x:row>
    <x:row r="5">
      <x:c r="A5" t="n">
        <x:v>2</x:v>
      </x:c>
      <x:c r="B5" t="n">
        <x:f>A5*B$1</x:f>
        <x:v>2</x:v>
      </x:c>
      <x:c r="C5" t="n">
        <x:f>A5*C$1</x:f>
        <x:v>4</x:v>
      </x:c>
      <x:c r="D5" t="n">
        <x:f>A5*D$1</x:f>
        <x:v>6</x:v>
      </x:c>
      <x:c r="E5" t="n">
        <x:f>A5*E$1</x:f>
        <x:v>8</x:v>
      </x:c>
      <x:c r="F5" t="n">
        <x:f>A5*F$1</x:f>
        <x:v>10</x:v>
      </x:c>
    </x:row>
    <x:row r="6">
      <x:c r="A6" t="n">
        <x:v>1</x:v>
      </x:c>
      <x:c r="B6" t="n">
        <x:f>A6*B$1</x:f>
        <x:v>1</x:v>
      </x:c>
      <x:c r="C6" t="n">
        <x:f>A6*C$1</x:f>
        <x:v>2</x:v>
      </x:c>
      <x:c r="D6" t="n">
        <x:f>A6*D$1</x:f>
        <x:v>3</x:v>
      </x:c>
      <x:c r="E6" t="n">
        <x:f>A6*E$1</x:f>
        <x:v>4</x:v>
      </x:c>
      <x:c r="F6" t="n">
        <x:f>A6*F$1</x:f>
        <x:v>5</x:v>
      </x:c>
    </x:row>
    <x:row r="9">
      <x:c r="A9" t="str">
        <x:v>Score range</x:v>
      </x:c>
      <x:c r="B9" t="str">
        <x:v>Tier</x:v>
      </x:c>
    </x:row>
    <x:row r="10">
      <x:c r="A10" t="str">
        <x:v>1–3</x:v>
      </x:c>
      <x:c r="B10" t="str">
        <x:v>Low</x:v>
      </x:c>
    </x:row>
    <x:row r="11">
      <x:c r="A11" t="str">
        <x:v>4–9</x:v>
      </x:c>
      <x:c r="B11" t="str">
        <x:v>Medium</x:v>
      </x:c>
    </x:row>
    <x:row r="12">
      <x:c r="A12" t="str">
        <x:v>10–19</x:v>
      </x:c>
      <x:c r="B12" t="str">
        <x:v>High</x:v>
      </x:c>
    </x:row>
    <x:row r="13">
      <x:c r="A13" t="str">
        <x:v>20–25</x:v>
      </x:c>
      <x:c r="B13" t="str">
        <x:v>Critical</x:v>
      </x:c>
    </x:row>
  </x:sheetData>
  <x:pageMargins left="0.7" right="0.7" top="0.75" bottom="0.75" header="0.3" footer="0.3"/>
</x:worksheet>
</file>